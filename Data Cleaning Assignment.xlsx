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ELL\Documents\"/>
    </mc:Choice>
  </mc:AlternateContent>
  <xr:revisionPtr revIDLastSave="0" documentId="8_{6501C116-A9AE-4D05-8677-D7E23B34290C}" xr6:coauthVersionLast="47" xr6:coauthVersionMax="47" xr10:uidLastSave="{00000000-0000-0000-0000-000000000000}"/>
  <bookViews>
    <workbookView xWindow="-120" yWindow="-120" windowWidth="20730" windowHeight="11310" firstSheet="1" activeTab="6" xr2:uid="{3023B5EE-9595-41B2-A495-224915F20BE8}"/>
  </bookViews>
  <sheets>
    <sheet name="IF" sheetId="27" r:id="rId1"/>
    <sheet name="Data Cleaning" sheetId="11" r:id="rId2"/>
    <sheet name="Clean" sheetId="6" r:id="rId3"/>
    <sheet name="Trim" sheetId="7" r:id="rId4"/>
    <sheet name="Substitute" sheetId="8" r:id="rId5"/>
    <sheet name="Value" sheetId="9" r:id="rId6"/>
    <sheet name="Assignment on Data Cleaning" sheetId="20" r:id="rId7"/>
  </sheets>
  <definedNames>
    <definedName name="_xlnm._FilterDatabase" localSheetId="2" hidden="1">Clean!$B$4:$B$11</definedName>
    <definedName name="QTY_SOLD">#REF!</definedName>
    <definedName name="UNIT">#REF!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 i="20" l="1"/>
  <c r="D8" i="20"/>
  <c r="D9" i="20"/>
  <c r="D10" i="20"/>
  <c r="D11" i="20"/>
  <c r="D12" i="20"/>
  <c r="D13" i="20"/>
  <c r="D14" i="20"/>
  <c r="D15" i="20"/>
  <c r="D16" i="20"/>
  <c r="D17" i="20"/>
  <c r="D18" i="20"/>
  <c r="D19" i="20"/>
  <c r="D20" i="20"/>
  <c r="D21" i="20"/>
  <c r="D6" i="20"/>
  <c r="E22" i="20"/>
  <c r="E6" i="20"/>
  <c r="E7" i="20"/>
  <c r="E8" i="20"/>
  <c r="E9" i="20"/>
  <c r="E10" i="20"/>
  <c r="E11" i="20"/>
  <c r="E12" i="20"/>
  <c r="E13" i="20"/>
  <c r="E14" i="20"/>
  <c r="E15" i="20"/>
  <c r="E16" i="20"/>
  <c r="E17" i="20"/>
  <c r="E18" i="20"/>
  <c r="E19" i="20"/>
  <c r="E20" i="20"/>
  <c r="E21" i="20"/>
  <c r="E12" i="9"/>
  <c r="B28" i="8"/>
  <c r="C12" i="9"/>
  <c r="A12" i="9"/>
  <c r="G6" i="20"/>
</calcChain>
</file>

<file path=xl/sharedStrings.xml><?xml version="1.0" encoding="utf-8"?>
<sst xmlns="http://schemas.openxmlformats.org/spreadsheetml/2006/main" count="121" uniqueCount="89">
  <si>
    <t>Albania</t>
  </si>
  <si>
    <t xml:space="preserve">Your manager has given you a table of raw data to perform analysis on. The data has been pulled from multiple sources and needs to be standardized prior to analysis.  </t>
  </si>
  <si>
    <t>Product</t>
  </si>
  <si>
    <t>_x0014_PROGRAF</t>
  </si>
  <si>
    <t>_x0014_PARIET</t>
  </si>
  <si>
    <t>_x0014_CONCERTA</t>
  </si>
  <si>
    <t>_x0014_LEUSTATIN</t>
  </si>
  <si>
    <t>_x0014_VELCADE</t>
  </si>
  <si>
    <t xml:space="preserve">Your manager has given you a table of raw data to perform analysis on. The data has been pulled from multiple sources and needs to be standardized prior to analysis. </t>
  </si>
  <si>
    <t>Product Detail</t>
  </si>
  <si>
    <t>PROGRAF 5MG 50CAPSULAS PROIBID</t>
  </si>
  <si>
    <t>PARIET     20 MG 28 CP OR</t>
  </si>
  <si>
    <t>CONCERTA 54MG FR         30CP OR</t>
  </si>
  <si>
    <t>LEUSTATIN        INJ CT C/ 1 FR          AMP</t>
  </si>
  <si>
    <t>VELCADE 3,5 MG OR</t>
  </si>
  <si>
    <t>LEUSTATIN INJ CT C/ 1       FR AMP</t>
  </si>
  <si>
    <t xml:space="preserve">    VELCADE 3,5 MG OR</t>
  </si>
  <si>
    <t>You have been tasked to create a table for 2015 and 2016 cost data. You have already created the same list for sales data in the previous two years. Using the data on the left and the substitute formula, create a new list in the right hand column.</t>
  </si>
  <si>
    <t>Substitute</t>
  </si>
  <si>
    <t>Sales Data</t>
  </si>
  <si>
    <t>Quarter 1, 2013</t>
  </si>
  <si>
    <t>Quarter 2, 2013</t>
  </si>
  <si>
    <t>Quarter 3, 2013</t>
  </si>
  <si>
    <t>Quarter 4, 2013</t>
  </si>
  <si>
    <t>Quarter 1, 2014</t>
  </si>
  <si>
    <t>Quarter 2, 2014</t>
  </si>
  <si>
    <t>Quarter 3, 2014</t>
  </si>
  <si>
    <t>Quarter 4, 2014</t>
  </si>
  <si>
    <t>Reported Quantity</t>
  </si>
  <si>
    <t>2</t>
  </si>
  <si>
    <t>3</t>
  </si>
  <si>
    <t>5</t>
  </si>
  <si>
    <t>10</t>
  </si>
  <si>
    <t>121_x000B_211</t>
  </si>
  <si>
    <t>226_x000E_321</t>
  </si>
  <si>
    <t>111_x0012_243</t>
  </si>
  <si>
    <t>224_x0015_334</t>
  </si>
  <si>
    <t>145_x0013_532</t>
  </si>
  <si>
    <t>TOTAL</t>
  </si>
  <si>
    <t>Find the total of these values</t>
  </si>
  <si>
    <t>VELCADE 3-5 MG OR</t>
  </si>
  <si>
    <t xml:space="preserve">    VELCADE 3-5 MG OR</t>
  </si>
  <si>
    <t>Male</t>
  </si>
  <si>
    <t>Female</t>
  </si>
  <si>
    <t>Year</t>
  </si>
  <si>
    <t>Gender</t>
  </si>
  <si>
    <t>27</t>
  </si>
  <si>
    <t>28</t>
  </si>
  <si>
    <t>29</t>
  </si>
  <si>
    <t>30</t>
  </si>
  <si>
    <t>31</t>
  </si>
  <si>
    <t>33</t>
  </si>
  <si>
    <t>34</t>
  </si>
  <si>
    <t>35</t>
  </si>
  <si>
    <t>36</t>
  </si>
  <si>
    <t>38</t>
  </si>
  <si>
    <t>39</t>
  </si>
  <si>
    <t>40</t>
  </si>
  <si>
    <t>2 5</t>
  </si>
  <si>
    <t xml:space="preserve">   26</t>
  </si>
  <si>
    <t>3      2</t>
  </si>
  <si>
    <t>3;7</t>
  </si>
  <si>
    <t>Just before you started solving the problem, It was also brought to your attention that 2017 was mistakenly entered into the data instead of 2019</t>
  </si>
  <si>
    <t>SN</t>
  </si>
  <si>
    <t>Country Name</t>
  </si>
  <si>
    <t>Year 2017</t>
  </si>
  <si>
    <t>Year 2018</t>
  </si>
  <si>
    <t>Aruba</t>
  </si>
  <si>
    <t>Afghanistan</t>
  </si>
  <si>
    <t>Angola</t>
  </si>
  <si>
    <t>Andorra</t>
  </si>
  <si>
    <t>Arab World</t>
  </si>
  <si>
    <t>United Arab Emirates</t>
  </si>
  <si>
    <t>Argentina</t>
  </si>
  <si>
    <t>Armenia</t>
  </si>
  <si>
    <t>American Samoa</t>
  </si>
  <si>
    <t>NOTES:</t>
  </si>
  <si>
    <t>The IF function runs a logical test and returns one value for a TRUE result,</t>
  </si>
  <si>
    <t>and another for a FALSE result.</t>
  </si>
  <si>
    <t>The data below contains data related to employees in an organization. Calculate the average age of all employees</t>
  </si>
  <si>
    <t>Age</t>
  </si>
  <si>
    <t>Product Detail - TRIM</t>
  </si>
  <si>
    <t>Using VALUE</t>
  </si>
  <si>
    <t>Using TEXT TO COLUMNS</t>
  </si>
  <si>
    <t>2017 Outcome</t>
  </si>
  <si>
    <t>2018 Outcome</t>
  </si>
  <si>
    <t>Average Age</t>
  </si>
  <si>
    <t>Determine which branch should be shut down or retained 
based on a base revenue of 150,000.</t>
  </si>
  <si>
    <t>Non-printable characters or formatting marks are characters for content designing in word processors, which are not displayed at printing.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</si>
</sst>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 #,##0.00_-;\-* #,##0.00_-;_-* &quot;-&quot;??_-;_-@_-"/>
    <numFmt numFmtId="165" formatCode="_(* #,##0_);_(* \(#,##0\);_(* &quot;-&quot;_);@_)"/>
  </numFmts>
  <fonts count="18" x14ac:knownFonts="1">
    <font>
      <sz val="11"/>
      <color theme="1"/>
      <name val="Calibri"/>
      <family val="2"/>
      <scheme val="minor"/>
    </font>
    <font>
      <sz val="11"/>
      <color theme="1"/>
      <name val="Calibri"/>
      <family val="2"/>
      <scheme val="minor"/>
    </font>
    <font>
      <b/>
      <sz val="11"/>
      <color theme="3"/>
      <name val="Calibri"/>
      <family val="2"/>
      <scheme val="minor"/>
    </font>
    <font>
      <sz val="10"/>
      <name val="Arial"/>
      <family val="2"/>
    </font>
    <font>
      <sz val="9"/>
      <color theme="1"/>
      <name val="Calibri"/>
      <family val="2"/>
      <scheme val="minor"/>
    </font>
    <font>
      <b/>
      <sz val="10"/>
      <name val="Arial"/>
      <family val="2"/>
    </font>
    <font>
      <b/>
      <sz val="10"/>
      <color theme="0"/>
      <name val="Arial"/>
      <family val="2"/>
    </font>
    <font>
      <b/>
      <sz val="9"/>
      <color theme="1"/>
      <name val="Calibri"/>
      <family val="2"/>
      <scheme val="minor"/>
    </font>
    <font>
      <b/>
      <sz val="10"/>
      <color theme="1"/>
      <name val="Arial"/>
      <family val="2"/>
    </font>
    <font>
      <sz val="14"/>
      <color theme="1"/>
      <name val="Calibri"/>
      <family val="2"/>
      <scheme val="minor"/>
    </font>
    <font>
      <sz val="8"/>
      <name val="Calibri"/>
      <family val="2"/>
      <scheme val="minor"/>
    </font>
    <font>
      <b/>
      <sz val="11"/>
      <color theme="0"/>
      <name val="Candara"/>
      <family val="2"/>
    </font>
    <font>
      <sz val="11"/>
      <color theme="1"/>
      <name val="Candara"/>
      <family val="2"/>
    </font>
    <font>
      <b/>
      <sz val="11"/>
      <color theme="1"/>
      <name val="Candara"/>
      <family val="2"/>
    </font>
    <font>
      <sz val="10"/>
      <name val="Candara"/>
      <family val="2"/>
    </font>
    <font>
      <b/>
      <sz val="10"/>
      <name val="Candara"/>
      <family val="2"/>
    </font>
    <font>
      <sz val="9"/>
      <color theme="1"/>
      <name val="Candara"/>
      <family val="2"/>
    </font>
    <font>
      <b/>
      <sz val="10"/>
      <color theme="0"/>
      <name val="Candara"/>
      <family val="2"/>
    </font>
  </fonts>
  <fills count="7">
    <fill>
      <patternFill patternType="none"/>
    </fill>
    <fill>
      <patternFill patternType="gray125"/>
    </fill>
    <fill>
      <patternFill patternType="solid">
        <fgColor theme="6" tint="0.39997558519241921"/>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9" tint="-0.249977111117893"/>
        <bgColor indexed="64"/>
      </patternFill>
    </fill>
    <fill>
      <patternFill patternType="solid">
        <fgColor rgb="FFFFFF00"/>
        <bgColor indexed="64"/>
      </patternFill>
    </fill>
  </fills>
  <borders count="6">
    <border>
      <left/>
      <right/>
      <top/>
      <bottom/>
      <diagonal/>
    </border>
    <border>
      <left/>
      <right/>
      <top/>
      <bottom style="thin">
        <color auto="1"/>
      </bottom>
      <diagonal/>
    </border>
    <border>
      <left/>
      <right style="thin">
        <color auto="1"/>
      </right>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auto="1"/>
      </left>
      <right style="thin">
        <color auto="1"/>
      </right>
      <top/>
      <bottom style="thin">
        <color auto="1"/>
      </bottom>
      <diagonal/>
    </border>
  </borders>
  <cellStyleXfs count="7">
    <xf numFmtId="0" fontId="0" fillId="0" borderId="0"/>
    <xf numFmtId="0" fontId="3" fillId="0" borderId="0"/>
    <xf numFmtId="0" fontId="2" fillId="0" borderId="0" applyAlignment="0" applyProtection="0"/>
    <xf numFmtId="165" fontId="4" fillId="0" borderId="0"/>
    <xf numFmtId="0" fontId="1" fillId="0" borderId="0"/>
    <xf numFmtId="44" fontId="4" fillId="0" borderId="0" applyFont="0" applyFill="0" applyBorder="0" applyAlignment="0" applyProtection="0"/>
    <xf numFmtId="164" fontId="1" fillId="0" borderId="0" applyFont="0" applyFill="0" applyBorder="0" applyAlignment="0" applyProtection="0"/>
  </cellStyleXfs>
  <cellXfs count="30">
    <xf numFmtId="0" fontId="0" fillId="0" borderId="0" xfId="0"/>
    <xf numFmtId="0" fontId="3" fillId="0" borderId="0" xfId="1"/>
    <xf numFmtId="165" fontId="4" fillId="0" borderId="0" xfId="3"/>
    <xf numFmtId="0" fontId="6" fillId="2" borderId="1" xfId="1" applyFont="1" applyFill="1" applyBorder="1" applyAlignment="1">
      <alignment horizontal="left"/>
    </xf>
    <xf numFmtId="0" fontId="3" fillId="3" borderId="4" xfId="1" applyFill="1" applyBorder="1"/>
    <xf numFmtId="165" fontId="7" fillId="0" borderId="0" xfId="3" applyFont="1"/>
    <xf numFmtId="165" fontId="4" fillId="0" borderId="2" xfId="3" applyBorder="1"/>
    <xf numFmtId="165" fontId="8" fillId="0" borderId="0" xfId="3" applyFont="1"/>
    <xf numFmtId="0" fontId="5" fillId="0" borderId="0" xfId="1" applyFont="1"/>
    <xf numFmtId="0" fontId="9" fillId="0" borderId="3" xfId="0" applyFont="1" applyBorder="1"/>
    <xf numFmtId="0" fontId="12" fillId="0" borderId="0" xfId="0" applyFont="1"/>
    <xf numFmtId="0" fontId="12" fillId="0" borderId="3" xfId="0" applyFont="1" applyBorder="1"/>
    <xf numFmtId="0" fontId="14" fillId="0" borderId="0" xfId="1" applyFont="1"/>
    <xf numFmtId="165" fontId="16" fillId="0" borderId="0" xfId="3" applyFont="1"/>
    <xf numFmtId="0" fontId="17" fillId="2" borderId="1" xfId="1" applyFont="1" applyFill="1" applyBorder="1" applyAlignment="1">
      <alignment horizontal="left"/>
    </xf>
    <xf numFmtId="0" fontId="14" fillId="3" borderId="4" xfId="1" applyFont="1" applyFill="1" applyBorder="1"/>
    <xf numFmtId="0" fontId="14" fillId="4" borderId="4" xfId="1" applyFont="1" applyFill="1" applyBorder="1"/>
    <xf numFmtId="0" fontId="14" fillId="4" borderId="0" xfId="1" applyFont="1" applyFill="1"/>
    <xf numFmtId="0" fontId="12" fillId="0" borderId="3" xfId="0" quotePrefix="1" applyFont="1" applyBorder="1"/>
    <xf numFmtId="0" fontId="13" fillId="5" borderId="0" xfId="0" applyFont="1" applyFill="1"/>
    <xf numFmtId="0" fontId="11" fillId="5" borderId="3" xfId="0" applyFont="1" applyFill="1" applyBorder="1"/>
    <xf numFmtId="0" fontId="12" fillId="0" borderId="0" xfId="0" applyFont="1" applyAlignment="1">
      <alignment wrapText="1"/>
    </xf>
    <xf numFmtId="0" fontId="12" fillId="0" borderId="0" xfId="0" applyFont="1" applyAlignment="1">
      <alignment vertical="center"/>
    </xf>
    <xf numFmtId="164" fontId="12" fillId="0" borderId="3" xfId="6" applyFont="1" applyBorder="1"/>
    <xf numFmtId="0" fontId="12" fillId="0" borderId="5" xfId="0" applyFont="1" applyBorder="1"/>
    <xf numFmtId="0" fontId="12" fillId="6" borderId="5" xfId="0" applyFont="1" applyFill="1" applyBorder="1"/>
    <xf numFmtId="165" fontId="1" fillId="0" borderId="0" xfId="3" applyFont="1" applyAlignment="1">
      <alignment horizontal="left" wrapText="1"/>
    </xf>
    <xf numFmtId="0" fontId="15" fillId="0" borderId="0" xfId="1" applyFont="1" applyAlignment="1">
      <alignment horizontal="left" wrapText="1"/>
    </xf>
    <xf numFmtId="0" fontId="5" fillId="0" borderId="0" xfId="1" applyFont="1" applyAlignment="1">
      <alignment horizontal="left" wrapText="1"/>
    </xf>
    <xf numFmtId="0" fontId="6" fillId="5" borderId="1" xfId="1" applyFont="1" applyFill="1" applyBorder="1" applyAlignment="1">
      <alignment horizontal="center"/>
    </xf>
  </cellXfs>
  <cellStyles count="7">
    <cellStyle name="Comma 2" xfId="6" xr:uid="{99B11F68-250A-477C-9F9B-88726555771C}"/>
    <cellStyle name="Currency 2" xfId="5" xr:uid="{1AD775F7-0182-4F80-A169-F179A334FBD4}"/>
    <cellStyle name="Normal" xfId="0" builtinId="0"/>
    <cellStyle name="Normal 2" xfId="1" xr:uid="{6FBD8EA8-5533-4CCB-91EB-5BE3F2ABBEFD}"/>
    <cellStyle name="Normal 3" xfId="3" xr:uid="{A50FF149-F6E1-4746-91FB-8CFC6472AA28}"/>
    <cellStyle name="Normal 4" xfId="4" xr:uid="{A945C8E8-E786-4954-A92B-C53F9E340893}"/>
    <cellStyle name="Smart Title" xfId="2" xr:uid="{9121452F-17A0-4BEA-83DA-47986C234BF3}"/>
  </cellStyles>
  <dxfs count="0"/>
  <tableStyles count="0" defaultTableStyle="TableStyleMedium2" defaultPivotStyle="PivotStyleLight16"/>
  <colors>
    <mruColors>
      <color rgb="FFDC6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0</xdr:row>
      <xdr:rowOff>0</xdr:rowOff>
    </xdr:from>
    <xdr:to>
      <xdr:col>8</xdr:col>
      <xdr:colOff>411909</xdr:colOff>
      <xdr:row>12</xdr:row>
      <xdr:rowOff>84010</xdr:rowOff>
    </xdr:to>
    <xdr:pic>
      <xdr:nvPicPr>
        <xdr:cNvPr id="3" name="Picture 2">
          <a:extLst>
            <a:ext uri="{FF2B5EF4-FFF2-40B4-BE49-F238E27FC236}">
              <a16:creationId xmlns:a16="http://schemas.microsoft.com/office/drawing/2014/main" id="{15197E38-9D26-505E-591A-847F9338698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503920" y="0"/>
          <a:ext cx="4953429" cy="218713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50CFB-2EFE-427A-8A80-CC326B6B3098}">
  <dimension ref="A1:H14"/>
  <sheetViews>
    <sheetView zoomScaleNormal="100" workbookViewId="0">
      <selection activeCell="H8" sqref="H8"/>
    </sheetView>
  </sheetViews>
  <sheetFormatPr defaultColWidth="8.85546875" defaultRowHeight="15" x14ac:dyDescent="0.25"/>
  <cols>
    <col min="1" max="1" width="8.85546875" style="10"/>
    <col min="2" max="2" width="24.7109375" style="10" customWidth="1"/>
    <col min="3" max="3" width="16.140625" style="10" bestFit="1" customWidth="1"/>
    <col min="4" max="4" width="16.140625" style="10" customWidth="1"/>
    <col min="5" max="5" width="16.140625" style="10" bestFit="1" customWidth="1"/>
    <col min="6" max="6" width="13.7109375" style="10" bestFit="1" customWidth="1"/>
    <col min="7" max="7" width="8.85546875" style="10"/>
    <col min="8" max="8" width="65.5703125" style="10" bestFit="1" customWidth="1"/>
    <col min="9" max="10" width="8.85546875" style="10"/>
    <col min="11" max="11" width="69" style="10" customWidth="1"/>
    <col min="12" max="16384" width="8.85546875" style="10"/>
  </cols>
  <sheetData>
    <row r="1" spans="1:8" x14ac:dyDescent="0.25">
      <c r="A1" s="20" t="s">
        <v>63</v>
      </c>
      <c r="B1" s="20" t="s">
        <v>64</v>
      </c>
      <c r="C1" s="20" t="s">
        <v>65</v>
      </c>
      <c r="D1" s="20" t="s">
        <v>84</v>
      </c>
      <c r="E1" s="20" t="s">
        <v>66</v>
      </c>
      <c r="F1" s="20" t="s">
        <v>85</v>
      </c>
    </row>
    <row r="2" spans="1:8" x14ac:dyDescent="0.25">
      <c r="A2" s="11">
        <v>1</v>
      </c>
      <c r="B2" s="11" t="s">
        <v>67</v>
      </c>
      <c r="C2" s="23">
        <v>105366</v>
      </c>
      <c r="D2" s="23"/>
      <c r="E2" s="23">
        <v>105845</v>
      </c>
      <c r="F2" s="11"/>
      <c r="H2" s="19" t="s">
        <v>76</v>
      </c>
    </row>
    <row r="3" spans="1:8" x14ac:dyDescent="0.25">
      <c r="A3" s="11">
        <v>2</v>
      </c>
      <c r="B3" s="11" t="s">
        <v>68</v>
      </c>
      <c r="C3" s="23">
        <v>36296400</v>
      </c>
      <c r="D3" s="23"/>
      <c r="E3" s="23">
        <v>37172386</v>
      </c>
      <c r="F3" s="11"/>
      <c r="H3" s="10" t="s">
        <v>77</v>
      </c>
    </row>
    <row r="4" spans="1:8" x14ac:dyDescent="0.25">
      <c r="A4" s="11">
        <v>3</v>
      </c>
      <c r="B4" s="11" t="s">
        <v>69</v>
      </c>
      <c r="C4" s="23">
        <v>29816748</v>
      </c>
      <c r="D4" s="23"/>
      <c r="E4" s="23">
        <v>30809762</v>
      </c>
      <c r="F4" s="11"/>
      <c r="H4" s="10" t="s">
        <v>78</v>
      </c>
    </row>
    <row r="5" spans="1:8" x14ac:dyDescent="0.25">
      <c r="A5" s="11">
        <v>4</v>
      </c>
      <c r="B5" s="11" t="s">
        <v>0</v>
      </c>
      <c r="C5" s="23">
        <v>2873457</v>
      </c>
      <c r="D5" s="23"/>
      <c r="E5" s="23">
        <v>2866376</v>
      </c>
      <c r="F5" s="11"/>
    </row>
    <row r="6" spans="1:8" x14ac:dyDescent="0.25">
      <c r="A6" s="11">
        <v>5</v>
      </c>
      <c r="B6" s="11" t="s">
        <v>70</v>
      </c>
      <c r="C6" s="23">
        <v>77001</v>
      </c>
      <c r="D6" s="23"/>
      <c r="E6" s="23">
        <v>77006</v>
      </c>
      <c r="F6" s="11"/>
      <c r="H6" s="19" t="s">
        <v>76</v>
      </c>
    </row>
    <row r="7" spans="1:8" ht="30" customHeight="1" x14ac:dyDescent="0.25">
      <c r="A7" s="11">
        <v>6</v>
      </c>
      <c r="B7" s="11" t="s">
        <v>71</v>
      </c>
      <c r="C7" s="23">
        <v>411898965</v>
      </c>
      <c r="D7" s="23"/>
      <c r="E7" s="23">
        <v>419790588</v>
      </c>
      <c r="F7" s="11"/>
      <c r="H7" s="21" t="s">
        <v>87</v>
      </c>
    </row>
    <row r="8" spans="1:8" x14ac:dyDescent="0.25">
      <c r="A8" s="11">
        <v>7</v>
      </c>
      <c r="B8" s="11" t="s">
        <v>72</v>
      </c>
      <c r="C8" s="23">
        <v>9487203</v>
      </c>
      <c r="D8" s="23"/>
      <c r="E8" s="23">
        <v>9630959</v>
      </c>
      <c r="F8" s="11"/>
      <c r="H8" s="22"/>
    </row>
    <row r="9" spans="1:8" x14ac:dyDescent="0.25">
      <c r="A9" s="11">
        <v>8</v>
      </c>
      <c r="B9" s="11" t="s">
        <v>73</v>
      </c>
      <c r="C9" s="23">
        <v>44044811</v>
      </c>
      <c r="D9" s="23"/>
      <c r="E9" s="23">
        <v>44494502</v>
      </c>
      <c r="F9" s="11"/>
      <c r="H9" s="22"/>
    </row>
    <row r="10" spans="1:8" x14ac:dyDescent="0.25">
      <c r="A10" s="11">
        <v>9</v>
      </c>
      <c r="B10" s="11" t="s">
        <v>74</v>
      </c>
      <c r="C10" s="23">
        <v>2944809</v>
      </c>
      <c r="D10" s="23"/>
      <c r="E10" s="23">
        <v>2951776</v>
      </c>
      <c r="F10" s="11"/>
      <c r="H10" s="22"/>
    </row>
    <row r="11" spans="1:8" x14ac:dyDescent="0.25">
      <c r="A11" s="11">
        <v>10</v>
      </c>
      <c r="B11" s="11" t="s">
        <v>75</v>
      </c>
      <c r="C11" s="23">
        <v>55620</v>
      </c>
      <c r="D11" s="23"/>
      <c r="E11" s="23">
        <v>55465</v>
      </c>
      <c r="F11" s="11"/>
      <c r="H11" s="22"/>
    </row>
    <row r="12" spans="1:8" x14ac:dyDescent="0.25">
      <c r="H12" s="22"/>
    </row>
    <row r="13" spans="1:8" x14ac:dyDescent="0.25">
      <c r="H13" s="22"/>
    </row>
    <row r="14" spans="1:8" x14ac:dyDescent="0.25">
      <c r="H14" s="22"/>
    </row>
  </sheetData>
  <phoneticPr fontId="1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E956E-55C0-4491-A662-58365ED33045}">
  <sheetPr>
    <tabColor rgb="FF00B0F0"/>
  </sheetPr>
  <dimension ref="A1"/>
  <sheetViews>
    <sheetView workbookViewId="0">
      <selection activeCell="I26" sqref="I26"/>
    </sheetView>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E1BA4-9092-49E9-A17A-7F2AFA3678B9}">
  <sheetPr codeName="Sheet3"/>
  <dimension ref="A1:I24"/>
  <sheetViews>
    <sheetView showGridLines="0" zoomScaleNormal="100" workbookViewId="0">
      <selection activeCell="H14" sqref="H14"/>
    </sheetView>
  </sheetViews>
  <sheetFormatPr defaultColWidth="8" defaultRowHeight="12.75" x14ac:dyDescent="0.2"/>
  <cols>
    <col min="1" max="1" width="8" style="1"/>
    <col min="2" max="2" width="21.140625" style="1" customWidth="1"/>
    <col min="3" max="3" width="45.140625" style="1" customWidth="1"/>
    <col min="4" max="4" width="27.85546875" style="1" customWidth="1"/>
    <col min="5" max="5" width="21.85546875" style="1" customWidth="1"/>
    <col min="6" max="6" width="40" style="1" customWidth="1"/>
    <col min="7" max="8" width="13.140625" style="1" bestFit="1" customWidth="1"/>
    <col min="9" max="9" width="12.42578125" style="1" bestFit="1" customWidth="1"/>
    <col min="10" max="10" width="13.5703125" style="1" bestFit="1" customWidth="1"/>
    <col min="11" max="11" width="12.42578125" style="1" bestFit="1" customWidth="1"/>
    <col min="12" max="16384" width="8" style="1"/>
  </cols>
  <sheetData>
    <row r="1" spans="1:9" x14ac:dyDescent="0.2">
      <c r="A1" s="12"/>
      <c r="B1" s="27" t="s">
        <v>1</v>
      </c>
      <c r="C1" s="27"/>
      <c r="D1" s="27"/>
      <c r="F1" s="2"/>
      <c r="G1" s="2"/>
      <c r="H1" s="2"/>
    </row>
    <row r="2" spans="1:9" x14ac:dyDescent="0.2">
      <c r="A2" s="12"/>
      <c r="B2" s="27"/>
      <c r="C2" s="27"/>
      <c r="D2" s="27"/>
      <c r="E2" s="2"/>
      <c r="F2" s="2"/>
      <c r="G2" s="2"/>
      <c r="H2" s="2"/>
    </row>
    <row r="3" spans="1:9" x14ac:dyDescent="0.2">
      <c r="A3" s="12"/>
      <c r="B3" s="13"/>
      <c r="C3" s="13"/>
      <c r="D3" s="13"/>
      <c r="E3" s="2"/>
      <c r="F3" s="2"/>
      <c r="G3" s="2"/>
      <c r="H3" s="2"/>
    </row>
    <row r="4" spans="1:9" x14ac:dyDescent="0.2">
      <c r="A4" s="12"/>
      <c r="B4" s="14" t="s">
        <v>2</v>
      </c>
      <c r="C4" s="13"/>
      <c r="D4" s="14" t="s">
        <v>2</v>
      </c>
      <c r="E4" s="2"/>
      <c r="F4" s="2"/>
      <c r="G4" s="2"/>
      <c r="H4" s="2"/>
    </row>
    <row r="5" spans="1:9" x14ac:dyDescent="0.2">
      <c r="A5" s="12"/>
      <c r="B5" s="15" t="s">
        <v>3</v>
      </c>
      <c r="C5" s="13"/>
      <c r="D5" s="16"/>
      <c r="E5" s="2"/>
      <c r="F5" s="2"/>
      <c r="G5" s="2"/>
      <c r="H5" s="2"/>
    </row>
    <row r="6" spans="1:9" x14ac:dyDescent="0.2">
      <c r="A6" s="12"/>
      <c r="B6" s="12" t="s">
        <v>4</v>
      </c>
      <c r="C6" s="13"/>
      <c r="D6" s="16"/>
      <c r="E6" s="2"/>
      <c r="F6" s="2"/>
      <c r="G6" s="2"/>
      <c r="H6" s="2"/>
    </row>
    <row r="7" spans="1:9" x14ac:dyDescent="0.2">
      <c r="A7" s="12"/>
      <c r="B7" s="15" t="s">
        <v>5</v>
      </c>
      <c r="C7" s="13"/>
      <c r="D7" s="16"/>
      <c r="E7" s="2"/>
      <c r="F7" s="2"/>
      <c r="G7" s="2"/>
      <c r="H7" s="2"/>
    </row>
    <row r="8" spans="1:9" x14ac:dyDescent="0.2">
      <c r="A8" s="12"/>
      <c r="B8" s="12" t="s">
        <v>6</v>
      </c>
      <c r="C8" s="13"/>
      <c r="D8" s="16"/>
      <c r="E8" s="2"/>
      <c r="F8" s="2"/>
      <c r="G8" s="2"/>
      <c r="H8" s="2"/>
    </row>
    <row r="9" spans="1:9" x14ac:dyDescent="0.2">
      <c r="A9" s="12"/>
      <c r="B9" s="15" t="s">
        <v>7</v>
      </c>
      <c r="C9" s="13"/>
      <c r="D9" s="16"/>
      <c r="E9" s="2"/>
      <c r="F9" s="2"/>
      <c r="G9" s="2"/>
      <c r="H9" s="2"/>
    </row>
    <row r="10" spans="1:9" x14ac:dyDescent="0.2">
      <c r="A10" s="12"/>
      <c r="B10" s="12" t="s">
        <v>6</v>
      </c>
      <c r="C10" s="13"/>
      <c r="D10" s="16"/>
      <c r="E10" s="2"/>
      <c r="F10" s="2"/>
      <c r="G10" s="2"/>
      <c r="H10" s="2"/>
      <c r="I10" s="2"/>
    </row>
    <row r="11" spans="1:9" x14ac:dyDescent="0.2">
      <c r="A11" s="12"/>
      <c r="B11" s="15" t="s">
        <v>7</v>
      </c>
      <c r="C11" s="13"/>
      <c r="D11" s="16"/>
      <c r="E11" s="2"/>
      <c r="F11" s="2"/>
      <c r="G11" s="2"/>
      <c r="H11" s="2"/>
      <c r="I11" s="2"/>
    </row>
    <row r="12" spans="1:9" x14ac:dyDescent="0.2">
      <c r="A12" s="12"/>
      <c r="B12" s="13"/>
      <c r="C12" s="13"/>
      <c r="D12" s="13"/>
      <c r="E12" s="2"/>
      <c r="F12" s="2"/>
      <c r="G12" s="2"/>
      <c r="H12" s="2"/>
      <c r="I12" s="2"/>
    </row>
    <row r="13" spans="1:9" x14ac:dyDescent="0.2">
      <c r="B13" s="2"/>
      <c r="C13" s="2"/>
      <c r="D13" s="2"/>
      <c r="E13" s="2"/>
      <c r="F13" s="2"/>
      <c r="G13" s="2"/>
      <c r="H13" s="2"/>
      <c r="I13" s="2"/>
    </row>
    <row r="14" spans="1:9" ht="43.15" customHeight="1" x14ac:dyDescent="0.25">
      <c r="B14" s="2"/>
      <c r="C14" s="2"/>
      <c r="D14" s="2"/>
      <c r="E14" s="2"/>
      <c r="F14" s="26" t="s">
        <v>88</v>
      </c>
      <c r="G14" s="2"/>
      <c r="H14" s="2"/>
      <c r="I14" s="2"/>
    </row>
    <row r="16" spans="1:9" x14ac:dyDescent="0.2">
      <c r="B16" s="1" t="s">
        <v>39</v>
      </c>
    </row>
    <row r="18" spans="2:3" ht="18.75" x14ac:dyDescent="0.3">
      <c r="B18" s="9" t="s">
        <v>33</v>
      </c>
      <c r="C18" s="9"/>
    </row>
    <row r="19" spans="2:3" ht="18.75" x14ac:dyDescent="0.3">
      <c r="B19" s="9" t="s">
        <v>34</v>
      </c>
      <c r="C19" s="9"/>
    </row>
    <row r="20" spans="2:3" ht="18.75" x14ac:dyDescent="0.3">
      <c r="B20" s="9" t="s">
        <v>35</v>
      </c>
      <c r="C20" s="9"/>
    </row>
    <row r="21" spans="2:3" ht="18.75" x14ac:dyDescent="0.3">
      <c r="B21" s="9" t="s">
        <v>36</v>
      </c>
      <c r="C21" s="9"/>
    </row>
    <row r="22" spans="2:3" ht="18.75" x14ac:dyDescent="0.3">
      <c r="B22" s="9" t="s">
        <v>37</v>
      </c>
      <c r="C22" s="9"/>
    </row>
    <row r="24" spans="2:3" x14ac:dyDescent="0.2">
      <c r="B24" s="8" t="s">
        <v>38</v>
      </c>
    </row>
  </sheetData>
  <autoFilter ref="B4:B11" xr:uid="{00000000-0009-0000-0000-000002000000}"/>
  <mergeCells count="1">
    <mergeCell ref="B1:D2"/>
  </mergeCells>
  <pageMargins left="0.3" right="0.3" top="0.3" bottom="0.3" header="0.2" footer="0.2"/>
  <pageSetup scale="75" orientation="landscape" horizontalDpi="200" verticalDpi="200" r:id="rId1"/>
  <headerFooter alignWithMargins="0">
    <oddHeader>&amp;CTab: &amp;A</oddHeader>
    <oddFooter>&amp;L&amp;D &amp;T&amp;C&amp;Z&amp;F -- &amp;A&amp;R&amp;P/&amp;N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A6DE0-C179-46DD-8392-E5544FC3E3FF}">
  <sheetPr codeName="Sheet5"/>
  <dimension ref="A1:H23"/>
  <sheetViews>
    <sheetView showGridLines="0" zoomScale="96" zoomScaleNormal="96" workbookViewId="0">
      <selection activeCell="B10" sqref="B10"/>
    </sheetView>
  </sheetViews>
  <sheetFormatPr defaultColWidth="8" defaultRowHeight="12.75" x14ac:dyDescent="0.2"/>
  <cols>
    <col min="1" max="1" width="50.42578125" style="12" bestFit="1" customWidth="1"/>
    <col min="2" max="2" width="25" style="12" customWidth="1"/>
    <col min="3" max="3" width="8.140625" style="12" customWidth="1"/>
    <col min="4" max="4" width="40.7109375" style="12" customWidth="1"/>
    <col min="5" max="5" width="15.7109375" style="12" customWidth="1"/>
    <col min="6" max="7" width="13.140625" style="12" bestFit="1" customWidth="1"/>
    <col min="8" max="8" width="12.42578125" style="12" bestFit="1" customWidth="1"/>
    <col min="9" max="9" width="13.5703125" style="12" bestFit="1" customWidth="1"/>
    <col min="10" max="10" width="12.42578125" style="12" bestFit="1" customWidth="1"/>
    <col min="11" max="16384" width="8" style="12"/>
  </cols>
  <sheetData>
    <row r="1" spans="1:8" x14ac:dyDescent="0.2">
      <c r="A1" s="27" t="s">
        <v>8</v>
      </c>
      <c r="B1" s="27"/>
      <c r="C1" s="27"/>
      <c r="E1" s="13"/>
      <c r="F1" s="13"/>
      <c r="G1" s="13"/>
    </row>
    <row r="2" spans="1:8" x14ac:dyDescent="0.2">
      <c r="A2" s="27"/>
      <c r="B2" s="27"/>
      <c r="C2" s="27"/>
      <c r="D2" s="13"/>
      <c r="E2" s="13"/>
      <c r="F2" s="13"/>
      <c r="G2" s="13"/>
    </row>
    <row r="3" spans="1:8" x14ac:dyDescent="0.2">
      <c r="A3" s="13"/>
      <c r="B3" s="13"/>
      <c r="C3" s="13"/>
      <c r="D3" s="13"/>
      <c r="E3" s="13"/>
      <c r="F3" s="13"/>
      <c r="G3" s="13"/>
    </row>
    <row r="4" spans="1:8" x14ac:dyDescent="0.2">
      <c r="A4" s="14" t="s">
        <v>9</v>
      </c>
      <c r="B4" s="13"/>
      <c r="C4" s="13"/>
      <c r="D4" s="14" t="s">
        <v>81</v>
      </c>
      <c r="E4" s="13"/>
      <c r="F4" s="13"/>
      <c r="G4" s="13"/>
    </row>
    <row r="5" spans="1:8" x14ac:dyDescent="0.2">
      <c r="A5" s="15" t="s">
        <v>10</v>
      </c>
      <c r="B5" s="13"/>
      <c r="C5" s="13"/>
      <c r="D5" s="16"/>
      <c r="E5" s="13"/>
      <c r="F5" s="13"/>
      <c r="G5" s="13"/>
    </row>
    <row r="6" spans="1:8" x14ac:dyDescent="0.2">
      <c r="A6" s="12" t="s">
        <v>11</v>
      </c>
      <c r="B6" s="13"/>
      <c r="C6" s="13"/>
      <c r="D6" s="17"/>
      <c r="E6" s="13"/>
      <c r="F6" s="13"/>
      <c r="G6" s="13"/>
    </row>
    <row r="7" spans="1:8" x14ac:dyDescent="0.2">
      <c r="A7" s="15" t="s">
        <v>12</v>
      </c>
      <c r="B7" s="13"/>
      <c r="C7" s="13"/>
      <c r="D7" s="16"/>
      <c r="E7" s="13"/>
      <c r="F7" s="13"/>
      <c r="G7" s="13"/>
    </row>
    <row r="8" spans="1:8" x14ac:dyDescent="0.2">
      <c r="A8" s="12" t="s">
        <v>13</v>
      </c>
      <c r="B8" s="13"/>
      <c r="C8" s="13"/>
      <c r="D8" s="17"/>
      <c r="E8" s="13"/>
      <c r="F8" s="13"/>
      <c r="G8" s="13"/>
    </row>
    <row r="9" spans="1:8" x14ac:dyDescent="0.2">
      <c r="A9" s="15" t="s">
        <v>14</v>
      </c>
      <c r="B9" s="13"/>
      <c r="C9" s="13"/>
      <c r="D9" s="16"/>
      <c r="E9" s="13"/>
      <c r="F9" s="13"/>
      <c r="G9" s="13"/>
    </row>
    <row r="10" spans="1:8" x14ac:dyDescent="0.2">
      <c r="A10" s="12" t="s">
        <v>15</v>
      </c>
      <c r="B10" s="13"/>
      <c r="C10" s="13"/>
      <c r="D10" s="17"/>
      <c r="E10" s="13"/>
      <c r="F10" s="13"/>
      <c r="G10" s="13"/>
      <c r="H10" s="13"/>
    </row>
    <row r="11" spans="1:8" x14ac:dyDescent="0.2">
      <c r="A11" s="15" t="s">
        <v>16</v>
      </c>
      <c r="B11" s="13"/>
      <c r="C11" s="13"/>
      <c r="D11" s="16"/>
      <c r="E11" s="13"/>
      <c r="F11" s="13"/>
      <c r="G11" s="13"/>
      <c r="H11" s="13"/>
    </row>
    <row r="12" spans="1:8" x14ac:dyDescent="0.2">
      <c r="A12" s="13"/>
      <c r="B12" s="13"/>
      <c r="C12" s="13"/>
      <c r="D12" s="13"/>
      <c r="E12" s="13"/>
      <c r="F12" s="13"/>
      <c r="G12" s="13"/>
      <c r="H12" s="13"/>
    </row>
    <row r="13" spans="1:8" x14ac:dyDescent="0.2">
      <c r="A13" s="13"/>
      <c r="B13" s="13"/>
      <c r="C13" s="13"/>
      <c r="D13" s="13"/>
      <c r="E13" s="13"/>
      <c r="F13" s="13"/>
      <c r="G13" s="13"/>
      <c r="H13" s="13"/>
    </row>
    <row r="14" spans="1:8" x14ac:dyDescent="0.2">
      <c r="A14" s="13"/>
      <c r="B14" s="13"/>
      <c r="C14" s="13"/>
      <c r="D14" s="13"/>
      <c r="E14" s="13"/>
      <c r="F14" s="13"/>
      <c r="G14" s="13"/>
      <c r="H14" s="13"/>
    </row>
    <row r="15" spans="1:8" x14ac:dyDescent="0.2">
      <c r="A15" s="13"/>
      <c r="B15" s="13"/>
      <c r="C15" s="13"/>
      <c r="D15" s="13"/>
      <c r="E15" s="13"/>
      <c r="F15" s="13"/>
      <c r="G15" s="13"/>
      <c r="H15" s="13"/>
    </row>
    <row r="16" spans="1:8" x14ac:dyDescent="0.2">
      <c r="B16" s="13"/>
      <c r="C16" s="13"/>
      <c r="D16" s="13"/>
      <c r="E16" s="13"/>
      <c r="F16" s="13"/>
      <c r="G16" s="13"/>
      <c r="H16" s="13"/>
    </row>
    <row r="17" spans="2:8" x14ac:dyDescent="0.2">
      <c r="B17" s="13"/>
      <c r="C17" s="13"/>
      <c r="D17" s="13"/>
      <c r="E17" s="13"/>
      <c r="F17" s="13"/>
      <c r="G17" s="13"/>
      <c r="H17" s="13"/>
    </row>
    <row r="18" spans="2:8" x14ac:dyDescent="0.2">
      <c r="B18" s="13"/>
      <c r="C18" s="13"/>
      <c r="D18" s="13"/>
      <c r="E18" s="13"/>
      <c r="F18" s="13"/>
      <c r="G18" s="13"/>
      <c r="H18" s="13"/>
    </row>
    <row r="19" spans="2:8" x14ac:dyDescent="0.2">
      <c r="B19" s="13"/>
      <c r="C19" s="13"/>
      <c r="D19" s="13"/>
      <c r="E19" s="13"/>
      <c r="F19" s="13"/>
      <c r="G19" s="13"/>
      <c r="H19" s="13"/>
    </row>
    <row r="20" spans="2:8" x14ac:dyDescent="0.2">
      <c r="B20" s="13"/>
      <c r="C20" s="13"/>
      <c r="D20" s="13"/>
      <c r="E20" s="13"/>
      <c r="F20" s="13"/>
      <c r="G20" s="13"/>
      <c r="H20" s="13"/>
    </row>
    <row r="21" spans="2:8" x14ac:dyDescent="0.2">
      <c r="B21" s="13"/>
      <c r="C21" s="13"/>
      <c r="D21" s="13"/>
      <c r="E21" s="13"/>
      <c r="F21" s="13"/>
      <c r="G21" s="13"/>
      <c r="H21" s="13"/>
    </row>
    <row r="22" spans="2:8" x14ac:dyDescent="0.2">
      <c r="B22" s="13"/>
      <c r="C22" s="13"/>
      <c r="D22" s="13"/>
      <c r="E22" s="13"/>
    </row>
    <row r="23" spans="2:8" x14ac:dyDescent="0.2">
      <c r="B23" s="13"/>
      <c r="C23" s="13"/>
      <c r="D23" s="13"/>
      <c r="E23" s="13"/>
    </row>
  </sheetData>
  <mergeCells count="1">
    <mergeCell ref="A1:C2"/>
  </mergeCells>
  <pageMargins left="0.3" right="0.3" top="0.3" bottom="0.3" header="0.2" footer="0.2"/>
  <pageSetup scale="75" orientation="landscape" horizontalDpi="200" verticalDpi="200" r:id="rId1"/>
  <headerFooter alignWithMargins="0">
    <oddHeader>&amp;CTab: &amp;A</oddHeader>
    <oddFooter>&amp;L&amp;D &amp;T&amp;C&amp;Z&amp;F -- &amp;A&amp;R&amp;P/&amp;N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2E339-8ABA-4DD2-B370-9E80859CA3FB}">
  <sheetPr codeName="Sheet7"/>
  <dimension ref="A1:H28"/>
  <sheetViews>
    <sheetView showGridLines="0" zoomScaleNormal="100" workbookViewId="0">
      <selection activeCell="C5" sqref="C5"/>
    </sheetView>
  </sheetViews>
  <sheetFormatPr defaultColWidth="8" defaultRowHeight="12.75" x14ac:dyDescent="0.2"/>
  <cols>
    <col min="1" max="1" width="49.7109375" style="1" bestFit="1" customWidth="1"/>
    <col min="2" max="2" width="32.85546875" style="1" customWidth="1"/>
    <col min="3" max="3" width="39.5703125" style="1" customWidth="1"/>
    <col min="4" max="4" width="21.85546875" style="1" customWidth="1"/>
    <col min="5" max="5" width="15.7109375" style="1" customWidth="1"/>
    <col min="6" max="7" width="13.140625" style="1" bestFit="1" customWidth="1"/>
    <col min="8" max="8" width="12.42578125" style="1" bestFit="1" customWidth="1"/>
    <col min="9" max="9" width="13.5703125" style="1" bestFit="1" customWidth="1"/>
    <col min="10" max="10" width="12.42578125" style="1" bestFit="1" customWidth="1"/>
    <col min="11" max="16384" width="8" style="1"/>
  </cols>
  <sheetData>
    <row r="1" spans="1:8" x14ac:dyDescent="0.2">
      <c r="A1" s="28" t="s">
        <v>8</v>
      </c>
      <c r="B1" s="28"/>
      <c r="C1" s="28"/>
      <c r="E1" s="2"/>
      <c r="F1" s="2"/>
      <c r="G1" s="2"/>
    </row>
    <row r="2" spans="1:8" x14ac:dyDescent="0.2">
      <c r="A2" s="28"/>
      <c r="B2" s="28"/>
      <c r="C2" s="28"/>
      <c r="D2" s="2"/>
      <c r="E2" s="2"/>
      <c r="F2" s="2"/>
      <c r="G2" s="2"/>
    </row>
    <row r="3" spans="1:8" x14ac:dyDescent="0.2">
      <c r="A3" s="2"/>
      <c r="B3" s="2"/>
      <c r="C3" s="2"/>
      <c r="D3" s="2"/>
      <c r="E3" s="2"/>
      <c r="F3" s="2"/>
      <c r="G3" s="2"/>
    </row>
    <row r="4" spans="1:8" x14ac:dyDescent="0.2">
      <c r="A4" s="3" t="s">
        <v>9</v>
      </c>
      <c r="B4" s="2"/>
      <c r="C4" s="3" t="s">
        <v>9</v>
      </c>
      <c r="D4" s="2"/>
      <c r="E4" s="2"/>
      <c r="F4" s="2"/>
      <c r="G4" s="2"/>
    </row>
    <row r="5" spans="1:8" x14ac:dyDescent="0.2">
      <c r="A5" s="4" t="s">
        <v>10</v>
      </c>
      <c r="B5" s="2"/>
      <c r="C5" s="4"/>
      <c r="D5" s="2"/>
      <c r="E5" s="2"/>
      <c r="F5" s="2"/>
      <c r="G5" s="2"/>
    </row>
    <row r="6" spans="1:8" x14ac:dyDescent="0.2">
      <c r="A6" s="1" t="s">
        <v>11</v>
      </c>
      <c r="B6" s="2"/>
      <c r="D6" s="2"/>
      <c r="E6" s="2"/>
      <c r="F6" s="2"/>
      <c r="G6" s="2"/>
    </row>
    <row r="7" spans="1:8" x14ac:dyDescent="0.2">
      <c r="A7" s="4" t="s">
        <v>12</v>
      </c>
      <c r="B7" s="2"/>
      <c r="C7" s="4"/>
      <c r="D7" s="2"/>
      <c r="E7" s="2"/>
      <c r="F7" s="2"/>
      <c r="G7" s="2"/>
    </row>
    <row r="8" spans="1:8" x14ac:dyDescent="0.2">
      <c r="A8" s="1" t="s">
        <v>13</v>
      </c>
      <c r="B8" s="2"/>
      <c r="D8" s="2"/>
      <c r="E8" s="2"/>
      <c r="F8" s="2"/>
      <c r="G8" s="2"/>
    </row>
    <row r="9" spans="1:8" x14ac:dyDescent="0.2">
      <c r="A9" s="4" t="s">
        <v>40</v>
      </c>
      <c r="B9" s="2"/>
      <c r="C9" s="4"/>
      <c r="D9" s="2"/>
      <c r="E9" s="2"/>
      <c r="F9" s="2"/>
      <c r="G9" s="2"/>
    </row>
    <row r="10" spans="1:8" x14ac:dyDescent="0.2">
      <c r="A10" s="1" t="s">
        <v>15</v>
      </c>
      <c r="B10" s="2"/>
      <c r="D10" s="2"/>
      <c r="E10" s="2"/>
      <c r="F10" s="2"/>
      <c r="G10" s="2"/>
      <c r="H10" s="2"/>
    </row>
    <row r="11" spans="1:8" x14ac:dyDescent="0.2">
      <c r="A11" s="4" t="s">
        <v>41</v>
      </c>
      <c r="B11" s="2"/>
      <c r="C11" s="4"/>
      <c r="D11" s="2"/>
      <c r="E11" s="2"/>
      <c r="F11" s="2"/>
      <c r="G11" s="2"/>
      <c r="H11" s="2"/>
    </row>
    <row r="12" spans="1:8" x14ac:dyDescent="0.2">
      <c r="A12" s="2"/>
      <c r="B12" s="2"/>
      <c r="C12" s="2"/>
      <c r="D12" s="2"/>
      <c r="E12" s="2"/>
      <c r="F12" s="2"/>
      <c r="G12" s="2"/>
      <c r="H12" s="2"/>
    </row>
    <row r="13" spans="1:8" x14ac:dyDescent="0.2">
      <c r="A13" s="28" t="s">
        <v>17</v>
      </c>
      <c r="B13" s="28"/>
    </row>
    <row r="14" spans="1:8" ht="13.15" customHeight="1" x14ac:dyDescent="0.2">
      <c r="A14" s="28"/>
      <c r="B14" s="28"/>
    </row>
    <row r="15" spans="1:8" ht="18" customHeight="1" x14ac:dyDescent="0.2">
      <c r="A15" s="28"/>
      <c r="B15" s="28"/>
    </row>
    <row r="17" spans="1:2" x14ac:dyDescent="0.2">
      <c r="A17" s="29" t="s">
        <v>18</v>
      </c>
      <c r="B17" s="29"/>
    </row>
    <row r="18" spans="1:2" x14ac:dyDescent="0.2">
      <c r="A18" s="2"/>
    </row>
    <row r="19" spans="1:2" x14ac:dyDescent="0.2">
      <c r="A19" s="5" t="s">
        <v>19</v>
      </c>
      <c r="B19" s="5"/>
    </row>
    <row r="20" spans="1:2" x14ac:dyDescent="0.2">
      <c r="A20" s="6" t="s">
        <v>20</v>
      </c>
      <c r="B20" s="2"/>
    </row>
    <row r="21" spans="1:2" x14ac:dyDescent="0.2">
      <c r="A21" s="6" t="s">
        <v>21</v>
      </c>
      <c r="B21" s="2"/>
    </row>
    <row r="22" spans="1:2" x14ac:dyDescent="0.2">
      <c r="A22" s="6" t="s">
        <v>22</v>
      </c>
      <c r="B22" s="2"/>
    </row>
    <row r="23" spans="1:2" x14ac:dyDescent="0.2">
      <c r="A23" s="6" t="s">
        <v>23</v>
      </c>
      <c r="B23" s="2"/>
    </row>
    <row r="24" spans="1:2" x14ac:dyDescent="0.2">
      <c r="A24" s="6" t="s">
        <v>24</v>
      </c>
      <c r="B24" s="2"/>
    </row>
    <row r="25" spans="1:2" x14ac:dyDescent="0.2">
      <c r="A25" s="6" t="s">
        <v>25</v>
      </c>
      <c r="B25" s="2"/>
    </row>
    <row r="26" spans="1:2" x14ac:dyDescent="0.2">
      <c r="A26" s="6" t="s">
        <v>26</v>
      </c>
      <c r="B26" s="2"/>
    </row>
    <row r="27" spans="1:2" x14ac:dyDescent="0.2">
      <c r="A27" s="6" t="s">
        <v>27</v>
      </c>
      <c r="B27" s="2"/>
    </row>
    <row r="28" spans="1:2" x14ac:dyDescent="0.2">
      <c r="B28" s="2" t="str">
        <f t="shared" ref="B28" si="0">SUBSTITUTE(SUBSTITUTE(A28,2013,2015),2014,2016)</f>
        <v/>
      </c>
    </row>
  </sheetData>
  <mergeCells count="3">
    <mergeCell ref="A1:C2"/>
    <mergeCell ref="A13:B15"/>
    <mergeCell ref="A17:B17"/>
  </mergeCells>
  <pageMargins left="0.3" right="0.3" top="0.3" bottom="0.3" header="0.2" footer="0.2"/>
  <pageSetup scale="75" orientation="landscape" horizontalDpi="200" verticalDpi="200" r:id="rId1"/>
  <headerFooter alignWithMargins="0">
    <oddHeader>&amp;CTab: &amp;A</oddHeader>
    <oddFooter>&amp;L&amp;D &amp;T&amp;C&amp;Z&amp;F -- &amp;A&amp;R&amp;P/&amp;N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E96D6-3FF3-44B8-A8AA-293CB8F4297F}">
  <sheetPr codeName="Sheet9"/>
  <dimension ref="A1:F51"/>
  <sheetViews>
    <sheetView showGridLines="0" zoomScaleNormal="100" workbookViewId="0">
      <selection activeCell="F26" sqref="F26"/>
    </sheetView>
  </sheetViews>
  <sheetFormatPr defaultColWidth="8" defaultRowHeight="12.75" x14ac:dyDescent="0.2"/>
  <cols>
    <col min="1" max="1" width="24.5703125" style="1" bestFit="1" customWidth="1"/>
    <col min="2" max="2" width="17.5703125" style="1" customWidth="1"/>
    <col min="3" max="3" width="27.85546875" style="1" customWidth="1"/>
    <col min="4" max="4" width="13.140625" style="1" bestFit="1" customWidth="1"/>
    <col min="5" max="5" width="23.5703125" style="1" customWidth="1"/>
    <col min="6" max="6" width="12.42578125" style="1" bestFit="1" customWidth="1"/>
    <col min="7" max="7" width="13.5703125" style="1" bestFit="1" customWidth="1"/>
    <col min="8" max="8" width="12.42578125" style="1" bestFit="1" customWidth="1"/>
    <col min="9" max="16384" width="8" style="1"/>
  </cols>
  <sheetData>
    <row r="1" spans="1:6" x14ac:dyDescent="0.2">
      <c r="A1" s="28" t="s">
        <v>8</v>
      </c>
      <c r="B1" s="28"/>
      <c r="C1" s="28"/>
      <c r="D1" s="2"/>
      <c r="E1" s="2"/>
    </row>
    <row r="2" spans="1:6" x14ac:dyDescent="0.2">
      <c r="A2" s="28"/>
      <c r="B2" s="28"/>
      <c r="C2" s="28"/>
      <c r="D2" s="2"/>
      <c r="E2" s="2"/>
    </row>
    <row r="3" spans="1:6" x14ac:dyDescent="0.2">
      <c r="A3" s="2"/>
      <c r="B3" s="2"/>
      <c r="C3" s="2"/>
      <c r="D3" s="2"/>
      <c r="E3" s="2"/>
    </row>
    <row r="4" spans="1:6" x14ac:dyDescent="0.2">
      <c r="A4" s="3" t="s">
        <v>28</v>
      </c>
      <c r="C4" s="3" t="s">
        <v>82</v>
      </c>
      <c r="D4" s="2"/>
      <c r="E4" s="3" t="s">
        <v>83</v>
      </c>
    </row>
    <row r="5" spans="1:6" x14ac:dyDescent="0.2">
      <c r="A5" s="4" t="s">
        <v>29</v>
      </c>
      <c r="C5" s="4"/>
      <c r="D5" s="2"/>
      <c r="E5" s="4"/>
    </row>
    <row r="6" spans="1:6" x14ac:dyDescent="0.2">
      <c r="A6" s="1" t="s">
        <v>30</v>
      </c>
      <c r="C6" s="4"/>
      <c r="D6" s="2"/>
    </row>
    <row r="7" spans="1:6" x14ac:dyDescent="0.2">
      <c r="A7" s="4" t="s">
        <v>31</v>
      </c>
      <c r="C7" s="4"/>
      <c r="D7" s="2"/>
      <c r="E7" s="4"/>
    </row>
    <row r="8" spans="1:6" x14ac:dyDescent="0.2">
      <c r="A8" s="1" t="s">
        <v>30</v>
      </c>
      <c r="C8" s="4"/>
      <c r="D8" s="2"/>
    </row>
    <row r="9" spans="1:6" x14ac:dyDescent="0.2">
      <c r="A9" s="4" t="s">
        <v>32</v>
      </c>
      <c r="C9" s="4"/>
      <c r="D9" s="2"/>
      <c r="E9" s="4"/>
    </row>
    <row r="10" spans="1:6" x14ac:dyDescent="0.2">
      <c r="A10" s="1" t="s">
        <v>31</v>
      </c>
      <c r="C10" s="4"/>
      <c r="D10" s="2"/>
      <c r="F10" s="2"/>
    </row>
    <row r="11" spans="1:6" x14ac:dyDescent="0.2">
      <c r="A11" s="4" t="s">
        <v>32</v>
      </c>
      <c r="C11" s="4"/>
      <c r="D11" s="2"/>
      <c r="E11" s="4"/>
      <c r="F11" s="2"/>
    </row>
    <row r="12" spans="1:6" x14ac:dyDescent="0.2">
      <c r="A12" s="7">
        <f>SUM(A5:A11)</f>
        <v>0</v>
      </c>
      <c r="C12" s="7">
        <f>SUM(C5:C11)</f>
        <v>0</v>
      </c>
      <c r="D12" s="2"/>
      <c r="E12" s="7">
        <f>SUM(E5:E11)</f>
        <v>0</v>
      </c>
      <c r="F12" s="2"/>
    </row>
    <row r="13" spans="1:6" x14ac:dyDescent="0.2">
      <c r="A13" s="2"/>
      <c r="D13" s="2"/>
      <c r="E13" s="2"/>
      <c r="F13" s="2"/>
    </row>
    <row r="14" spans="1:6" x14ac:dyDescent="0.2">
      <c r="A14" s="2"/>
      <c r="D14" s="2"/>
      <c r="E14" s="2"/>
      <c r="F14" s="2"/>
    </row>
    <row r="15" spans="1:6" x14ac:dyDescent="0.2">
      <c r="A15" s="2"/>
      <c r="D15" s="2"/>
      <c r="E15" s="2"/>
      <c r="F15" s="2"/>
    </row>
    <row r="16" spans="1:6" x14ac:dyDescent="0.2">
      <c r="A16" s="7"/>
      <c r="C16" s="8"/>
      <c r="D16" s="2"/>
      <c r="E16" s="2"/>
      <c r="F16" s="2"/>
    </row>
    <row r="17" spans="4:6" x14ac:dyDescent="0.2">
      <c r="D17" s="2"/>
      <c r="E17" s="2"/>
      <c r="F17" s="2"/>
    </row>
    <row r="18" spans="4:6" x14ac:dyDescent="0.2">
      <c r="D18" s="2"/>
      <c r="E18" s="2"/>
      <c r="F18" s="2"/>
    </row>
    <row r="19" spans="4:6" x14ac:dyDescent="0.2">
      <c r="D19" s="2"/>
      <c r="E19" s="2"/>
      <c r="F19" s="2"/>
    </row>
    <row r="20" spans="4:6" x14ac:dyDescent="0.2">
      <c r="D20" s="2"/>
      <c r="E20" s="2"/>
      <c r="F20" s="2"/>
    </row>
    <row r="21" spans="4:6" x14ac:dyDescent="0.2">
      <c r="D21" s="2"/>
      <c r="E21" s="2"/>
      <c r="F21" s="2"/>
    </row>
    <row r="22" spans="4:6" x14ac:dyDescent="0.2">
      <c r="D22" s="2"/>
      <c r="E22" s="2"/>
      <c r="F22" s="2"/>
    </row>
    <row r="27" spans="4:6" s="2" customFormat="1" ht="12" x14ac:dyDescent="0.2"/>
    <row r="28" spans="4:6" s="2" customFormat="1" ht="19.149999999999999" customHeight="1" x14ac:dyDescent="0.2"/>
    <row r="29" spans="4:6" s="2" customFormat="1" ht="12" x14ac:dyDescent="0.2"/>
    <row r="30" spans="4:6" s="2" customFormat="1" ht="12" x14ac:dyDescent="0.2"/>
    <row r="31" spans="4:6" s="2" customFormat="1" ht="12" x14ac:dyDescent="0.2"/>
    <row r="32" spans="4:6" s="2" customFormat="1" ht="12" x14ac:dyDescent="0.2"/>
    <row r="33" s="2" customFormat="1" ht="12" x14ac:dyDescent="0.2"/>
    <row r="34" s="2" customFormat="1" ht="12" x14ac:dyDescent="0.2"/>
    <row r="35" s="2" customFormat="1" ht="12" x14ac:dyDescent="0.2"/>
    <row r="36" s="2" customFormat="1" ht="12" x14ac:dyDescent="0.2"/>
    <row r="37" s="2" customFormat="1" ht="12" x14ac:dyDescent="0.2"/>
    <row r="38" s="2" customFormat="1" ht="12" x14ac:dyDescent="0.2"/>
    <row r="39" s="2" customFormat="1" ht="12" x14ac:dyDescent="0.2"/>
    <row r="40" s="2" customFormat="1" ht="12" x14ac:dyDescent="0.2"/>
    <row r="41" s="2" customFormat="1" ht="12" x14ac:dyDescent="0.2"/>
    <row r="42" s="2" customFormat="1" ht="12" x14ac:dyDescent="0.2"/>
    <row r="43" s="2" customFormat="1" ht="12" x14ac:dyDescent="0.2"/>
    <row r="44" s="2" customFormat="1" ht="12" x14ac:dyDescent="0.2"/>
    <row r="45" s="2" customFormat="1" ht="12" x14ac:dyDescent="0.2"/>
    <row r="46" s="2" customFormat="1" ht="12" x14ac:dyDescent="0.2"/>
    <row r="47" s="2" customFormat="1" ht="12" x14ac:dyDescent="0.2"/>
    <row r="48" s="2" customFormat="1" ht="12" x14ac:dyDescent="0.2"/>
    <row r="49" s="2" customFormat="1" ht="12" x14ac:dyDescent="0.2"/>
    <row r="50" s="2" customFormat="1" ht="12" x14ac:dyDescent="0.2"/>
    <row r="51" s="2" customFormat="1" ht="12" x14ac:dyDescent="0.2"/>
  </sheetData>
  <mergeCells count="1">
    <mergeCell ref="A1:C2"/>
  </mergeCells>
  <pageMargins left="0.3" right="0.3" top="0.3" bottom="0.3" header="0.2" footer="0.2"/>
  <pageSetup scale="75" orientation="landscape" horizontalDpi="200" verticalDpi="200" r:id="rId1"/>
  <headerFooter alignWithMargins="0">
    <oddHeader>&amp;CTab: &amp;A</oddHeader>
    <oddFooter>&amp;L&amp;D &amp;T&amp;C&amp;Z&amp;F -- &amp;A&amp;R&amp;P/&amp;N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46E48-CBD2-4CCF-BB5C-4949371E909F}">
  <dimension ref="A1:G22"/>
  <sheetViews>
    <sheetView showGridLines="0" tabSelected="1" workbookViewId="0">
      <selection activeCell="G17" sqref="G17"/>
    </sheetView>
  </sheetViews>
  <sheetFormatPr defaultColWidth="11.5703125" defaultRowHeight="15" x14ac:dyDescent="0.25"/>
  <cols>
    <col min="1" max="3" width="11.5703125" style="10"/>
    <col min="4" max="4" width="13.5703125" style="10" customWidth="1"/>
    <col min="5" max="16384" width="11.5703125" style="10"/>
  </cols>
  <sheetData>
    <row r="1" spans="1:7" x14ac:dyDescent="0.25">
      <c r="A1" s="10" t="s">
        <v>79</v>
      </c>
    </row>
    <row r="2" spans="1:7" x14ac:dyDescent="0.25">
      <c r="A2" s="10" t="s">
        <v>62</v>
      </c>
    </row>
    <row r="5" spans="1:7" x14ac:dyDescent="0.25">
      <c r="A5" s="20" t="s">
        <v>44</v>
      </c>
      <c r="B5" s="20" t="s">
        <v>45</v>
      </c>
      <c r="C5" s="20" t="s">
        <v>80</v>
      </c>
      <c r="D5" s="20" t="s">
        <v>44</v>
      </c>
      <c r="E5" s="20" t="s">
        <v>80</v>
      </c>
    </row>
    <row r="6" spans="1:7" x14ac:dyDescent="0.25">
      <c r="A6" s="11">
        <v>2017</v>
      </c>
      <c r="B6" s="11" t="s">
        <v>42</v>
      </c>
      <c r="C6" s="18" t="s">
        <v>58</v>
      </c>
      <c r="D6" s="11">
        <f>IF(A6=2017,2019,A6)</f>
        <v>2019</v>
      </c>
      <c r="E6" s="11">
        <f>VALUE(SUBSTITUTE(SUBSTITUTE(SUBSTITUTE(TRIM(C6)," ",""),";",""),",",""))</f>
        <v>25</v>
      </c>
      <c r="G6" s="10">
        <f ca="1">VALUE(_xlfn.TEXTJOIN("",TRUE,IF(ISNUMBER(MID(C6,ROW(INDIRECT("1:10")),1)*1),MID(C6,ROW(INDIRECT("1:10")),1),"")))</f>
        <v>2</v>
      </c>
    </row>
    <row r="7" spans="1:7" x14ac:dyDescent="0.25">
      <c r="A7" s="11">
        <v>2017</v>
      </c>
      <c r="B7" s="11" t="s">
        <v>42</v>
      </c>
      <c r="C7" s="18" t="s">
        <v>59</v>
      </c>
      <c r="D7" s="11">
        <f t="shared" ref="D7:D21" si="0">IF(A7=2017,2019,A7)</f>
        <v>2019</v>
      </c>
      <c r="E7" s="11">
        <f t="shared" ref="E7:E21" si="1">VALUE(SUBSTITUTE(SUBSTITUTE(SUBSTITUTE(TRIM(C7)," ",""),";",""),",",""))</f>
        <v>26</v>
      </c>
    </row>
    <row r="8" spans="1:7" x14ac:dyDescent="0.25">
      <c r="A8" s="11">
        <v>2017</v>
      </c>
      <c r="B8" s="11" t="s">
        <v>42</v>
      </c>
      <c r="C8" s="18" t="s">
        <v>46</v>
      </c>
      <c r="D8" s="11">
        <f t="shared" si="0"/>
        <v>2019</v>
      </c>
      <c r="E8" s="11">
        <f t="shared" si="1"/>
        <v>27</v>
      </c>
    </row>
    <row r="9" spans="1:7" x14ac:dyDescent="0.25">
      <c r="A9" s="11">
        <v>2017</v>
      </c>
      <c r="B9" s="11" t="s">
        <v>42</v>
      </c>
      <c r="C9" s="18" t="s">
        <v>47</v>
      </c>
      <c r="D9" s="11">
        <f t="shared" si="0"/>
        <v>2019</v>
      </c>
      <c r="E9" s="11">
        <f t="shared" si="1"/>
        <v>28</v>
      </c>
    </row>
    <row r="10" spans="1:7" x14ac:dyDescent="0.25">
      <c r="A10" s="11">
        <v>2017</v>
      </c>
      <c r="B10" s="11" t="s">
        <v>43</v>
      </c>
      <c r="C10" s="18" t="s">
        <v>48</v>
      </c>
      <c r="D10" s="11">
        <f t="shared" si="0"/>
        <v>2019</v>
      </c>
      <c r="E10" s="11">
        <f t="shared" si="1"/>
        <v>29</v>
      </c>
    </row>
    <row r="11" spans="1:7" x14ac:dyDescent="0.25">
      <c r="A11" s="11">
        <v>2017</v>
      </c>
      <c r="B11" s="11" t="s">
        <v>43</v>
      </c>
      <c r="C11" s="18" t="s">
        <v>49</v>
      </c>
      <c r="D11" s="11">
        <f t="shared" si="0"/>
        <v>2019</v>
      </c>
      <c r="E11" s="11">
        <f t="shared" si="1"/>
        <v>30</v>
      </c>
    </row>
    <row r="12" spans="1:7" x14ac:dyDescent="0.25">
      <c r="A12" s="11">
        <v>2017</v>
      </c>
      <c r="B12" s="11" t="s">
        <v>43</v>
      </c>
      <c r="C12" s="18" t="s">
        <v>50</v>
      </c>
      <c r="D12" s="11">
        <f t="shared" si="0"/>
        <v>2019</v>
      </c>
      <c r="E12" s="11">
        <f t="shared" si="1"/>
        <v>31</v>
      </c>
    </row>
    <row r="13" spans="1:7" x14ac:dyDescent="0.25">
      <c r="A13" s="11">
        <v>2017</v>
      </c>
      <c r="B13" s="11" t="s">
        <v>43</v>
      </c>
      <c r="C13" s="18" t="s">
        <v>60</v>
      </c>
      <c r="D13" s="11">
        <f t="shared" si="0"/>
        <v>2019</v>
      </c>
      <c r="E13" s="11">
        <f t="shared" si="1"/>
        <v>32</v>
      </c>
    </row>
    <row r="14" spans="1:7" x14ac:dyDescent="0.25">
      <c r="A14" s="11">
        <v>2017</v>
      </c>
      <c r="B14" s="11" t="s">
        <v>43</v>
      </c>
      <c r="C14" s="18" t="s">
        <v>51</v>
      </c>
      <c r="D14" s="11">
        <f t="shared" si="0"/>
        <v>2019</v>
      </c>
      <c r="E14" s="11">
        <f t="shared" si="1"/>
        <v>33</v>
      </c>
    </row>
    <row r="15" spans="1:7" x14ac:dyDescent="0.25">
      <c r="A15" s="11">
        <v>2020</v>
      </c>
      <c r="B15" s="11" t="s">
        <v>42</v>
      </c>
      <c r="C15" s="18" t="s">
        <v>52</v>
      </c>
      <c r="D15" s="11">
        <f t="shared" si="0"/>
        <v>2020</v>
      </c>
      <c r="E15" s="11">
        <f t="shared" si="1"/>
        <v>34</v>
      </c>
    </row>
    <row r="16" spans="1:7" x14ac:dyDescent="0.25">
      <c r="A16" s="11">
        <v>2020</v>
      </c>
      <c r="B16" s="11" t="s">
        <v>42</v>
      </c>
      <c r="C16" s="18" t="s">
        <v>53</v>
      </c>
      <c r="D16" s="11">
        <f t="shared" si="0"/>
        <v>2020</v>
      </c>
      <c r="E16" s="11">
        <f t="shared" si="1"/>
        <v>35</v>
      </c>
    </row>
    <row r="17" spans="1:5" x14ac:dyDescent="0.25">
      <c r="A17" s="11">
        <v>2020</v>
      </c>
      <c r="B17" s="11" t="s">
        <v>42</v>
      </c>
      <c r="C17" s="18" t="s">
        <v>54</v>
      </c>
      <c r="D17" s="11">
        <f t="shared" si="0"/>
        <v>2020</v>
      </c>
      <c r="E17" s="11">
        <f t="shared" si="1"/>
        <v>36</v>
      </c>
    </row>
    <row r="18" spans="1:5" x14ac:dyDescent="0.25">
      <c r="A18" s="11">
        <v>2020</v>
      </c>
      <c r="B18" s="11" t="s">
        <v>42</v>
      </c>
      <c r="C18" s="18" t="s">
        <v>61</v>
      </c>
      <c r="D18" s="11">
        <f t="shared" si="0"/>
        <v>2020</v>
      </c>
      <c r="E18" s="11">
        <f t="shared" si="1"/>
        <v>37</v>
      </c>
    </row>
    <row r="19" spans="1:5" x14ac:dyDescent="0.25">
      <c r="A19" s="11">
        <v>2020</v>
      </c>
      <c r="B19" s="11" t="s">
        <v>43</v>
      </c>
      <c r="C19" s="18" t="s">
        <v>55</v>
      </c>
      <c r="D19" s="11">
        <f t="shared" si="0"/>
        <v>2020</v>
      </c>
      <c r="E19" s="11">
        <f t="shared" si="1"/>
        <v>38</v>
      </c>
    </row>
    <row r="20" spans="1:5" x14ac:dyDescent="0.25">
      <c r="A20" s="11">
        <v>2020</v>
      </c>
      <c r="B20" s="11" t="s">
        <v>43</v>
      </c>
      <c r="C20" s="18" t="s">
        <v>56</v>
      </c>
      <c r="D20" s="11">
        <f t="shared" si="0"/>
        <v>2020</v>
      </c>
      <c r="E20" s="11">
        <f t="shared" si="1"/>
        <v>39</v>
      </c>
    </row>
    <row r="21" spans="1:5" x14ac:dyDescent="0.25">
      <c r="A21" s="11">
        <v>2020</v>
      </c>
      <c r="B21" s="11" t="s">
        <v>43</v>
      </c>
      <c r="C21" s="18" t="s">
        <v>57</v>
      </c>
      <c r="D21" s="11">
        <f t="shared" si="0"/>
        <v>2020</v>
      </c>
      <c r="E21" s="11">
        <f t="shared" si="1"/>
        <v>40</v>
      </c>
    </row>
    <row r="22" spans="1:5" x14ac:dyDescent="0.25">
      <c r="D22" s="24" t="s">
        <v>86</v>
      </c>
      <c r="E22" s="25">
        <f>AVERAGE(E6:E21)</f>
        <v>32.5</v>
      </c>
    </row>
  </sheetData>
  <phoneticPr fontId="1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IF</vt:lpstr>
      <vt:lpstr>Data Cleaning</vt:lpstr>
      <vt:lpstr>Clean</vt:lpstr>
      <vt:lpstr>Trim</vt:lpstr>
      <vt:lpstr>Substitute</vt:lpstr>
      <vt:lpstr>Value</vt:lpstr>
      <vt:lpstr>Assignment on Data Cleaning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Ariremako oluwatoyin</dc:creator>
  <cp:lastModifiedBy>Abraham Akukuata</cp:lastModifiedBy>
  <dcterms:created xsi:type="dcterms:W3CDTF">2019-08-26T20:58:08Z</dcterms:created>
  <dcterms:modified xsi:type="dcterms:W3CDTF">2026-05-06T16:53:12Z</dcterms:modified>
</cp:coreProperties>
</file>